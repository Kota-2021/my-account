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Space\code\go\my-account\internal\infrastructure\excel\inputdata\"/>
    </mc:Choice>
  </mc:AlternateContent>
  <xr:revisionPtr revIDLastSave="0" documentId="13_ncr:1_{F504B62A-FBDF-44C6-8845-A751A04299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5" l="1"/>
  <c r="H3" i="15" s="1"/>
  <c r="H4" i="15" s="1"/>
  <c r="I2" i="15" l="1"/>
  <c r="I3" i="15"/>
  <c r="J2" i="15" l="1"/>
  <c r="I4" i="15" l="1"/>
  <c r="J3" i="15"/>
  <c r="J4" i="15" l="1"/>
</calcChain>
</file>

<file path=xl/sharedStrings.xml><?xml version="1.0" encoding="utf-8"?>
<sst xmlns="http://schemas.openxmlformats.org/spreadsheetml/2006/main" count="27" uniqueCount="27">
  <si>
    <t>id1</t>
    <phoneticPr fontId="3"/>
  </si>
  <si>
    <t>id2</t>
    <phoneticPr fontId="3"/>
  </si>
  <si>
    <t>日付</t>
  </si>
  <si>
    <t>出金</t>
  </si>
  <si>
    <t>出金(元)</t>
    <rPh sb="0" eb="2">
      <t>シュッキン</t>
    </rPh>
    <rPh sb="3" eb="4">
      <t>モト</t>
    </rPh>
    <phoneticPr fontId="3"/>
  </si>
  <si>
    <t>入金</t>
  </si>
  <si>
    <t>入金(元)</t>
    <rPh sb="0" eb="2">
      <t>ニュウキン</t>
    </rPh>
    <rPh sb="3" eb="4">
      <t>モト</t>
    </rPh>
    <phoneticPr fontId="3"/>
  </si>
  <si>
    <t>残高</t>
  </si>
  <si>
    <t>検証1</t>
    <rPh sb="0" eb="2">
      <t>ケンショウ</t>
    </rPh>
    <phoneticPr fontId="3"/>
  </si>
  <si>
    <t>検証2</t>
    <rPh sb="0" eb="2">
      <t>ケンショウ</t>
    </rPh>
    <phoneticPr fontId="3"/>
  </si>
  <si>
    <t>カテゴリ</t>
    <phoneticPr fontId="3"/>
  </si>
  <si>
    <t>科目</t>
    <rPh sb="0" eb="2">
      <t>カモク</t>
    </rPh>
    <phoneticPr fontId="3"/>
  </si>
  <si>
    <t>費目</t>
    <rPh sb="0" eb="2">
      <t>ヒモク</t>
    </rPh>
    <phoneticPr fontId="3"/>
  </si>
  <si>
    <t>取引先</t>
    <rPh sb="0" eb="3">
      <t>トリヒキサキ</t>
    </rPh>
    <phoneticPr fontId="3"/>
  </si>
  <si>
    <t>証拠</t>
    <rPh sb="0" eb="2">
      <t>ショウコ</t>
    </rPh>
    <phoneticPr fontId="3"/>
  </si>
  <si>
    <t>めも</t>
    <phoneticPr fontId="3"/>
  </si>
  <si>
    <t>科目2</t>
    <rPh sb="0" eb="2">
      <t>カモク</t>
    </rPh>
    <phoneticPr fontId="3"/>
  </si>
  <si>
    <t>商品Aを1個販売</t>
    <rPh sb="0" eb="2">
      <t>ショウヒン</t>
    </rPh>
    <rPh sb="5" eb="6">
      <t>コ</t>
    </rPh>
    <rPh sb="6" eb="8">
      <t>ハンバイ</t>
    </rPh>
    <phoneticPr fontId="3"/>
  </si>
  <si>
    <t>手数料を支払い</t>
    <rPh sb="0" eb="3">
      <t>テスウリョウ</t>
    </rPh>
    <rPh sb="4" eb="6">
      <t>シハラ</t>
    </rPh>
    <phoneticPr fontId="3"/>
  </si>
  <si>
    <t>えんぴつ1本購入</t>
    <rPh sb="5" eb="6">
      <t>ホン</t>
    </rPh>
    <rPh sb="6" eb="8">
      <t>コウニュウ</t>
    </rPh>
    <phoneticPr fontId="3"/>
  </si>
  <si>
    <t>A商店</t>
    <rPh sb="1" eb="3">
      <t>ショウテン</t>
    </rPh>
    <phoneticPr fontId="3"/>
  </si>
  <si>
    <t>Z銀行</t>
    <rPh sb="1" eb="3">
      <t>ギンコウ</t>
    </rPh>
    <phoneticPr fontId="3"/>
  </si>
  <si>
    <t>B商店</t>
    <rPh sb="1" eb="3">
      <t>ショウテン</t>
    </rPh>
    <phoneticPr fontId="3"/>
  </si>
  <si>
    <t>証001</t>
    <rPh sb="0" eb="1">
      <t>ショウ</t>
    </rPh>
    <phoneticPr fontId="3"/>
  </si>
  <si>
    <t>証002</t>
    <rPh sb="0" eb="1">
      <t>ショウ</t>
    </rPh>
    <phoneticPr fontId="3"/>
  </si>
  <si>
    <t>証003</t>
    <rPh sb="0" eb="1">
      <t>ショウ</t>
    </rPh>
    <phoneticPr fontId="3"/>
  </si>
  <si>
    <t>プレゼント用</t>
    <rPh sb="5" eb="6">
      <t>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</si>
</sst>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7">
    <xf numFmtId="0" fontId="0" fillId="0" borderId="0"/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8">
    <xf numFmtId="0" fontId="0" fillId="0" borderId="0" xfId="0"/>
    <xf numFmtId="0" fontId="2" fillId="2" borderId="1" xfId="3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38" fontId="2" fillId="3" borderId="1" xfId="1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shrinkToFit="1"/>
    </xf>
    <xf numFmtId="6" fontId="0" fillId="0" borderId="1" xfId="2" applyFont="1" applyBorder="1" applyAlignment="1">
      <alignment vertical="center"/>
    </xf>
    <xf numFmtId="6" fontId="0" fillId="0" borderId="1" xfId="2" applyFont="1" applyBorder="1" applyAlignment="1"/>
    <xf numFmtId="6" fontId="0" fillId="0" borderId="1" xfId="2" applyFont="1" applyFill="1" applyBorder="1" applyAlignment="1">
      <alignment vertical="center"/>
    </xf>
    <xf numFmtId="6" fontId="0" fillId="0" borderId="1" xfId="2" applyFont="1" applyFill="1" applyBorder="1" applyAlignment="1"/>
    <xf numFmtId="0" fontId="2" fillId="0" borderId="2" xfId="2" applyNumberFormat="1" applyFont="1" applyFill="1" applyBorder="1" applyAlignment="1">
      <alignment horizontal="right" vertical="center"/>
    </xf>
    <xf numFmtId="6" fontId="2" fillId="0" borderId="2" xfId="2" applyFont="1" applyFill="1" applyBorder="1">
      <alignment vertical="center"/>
    </xf>
    <xf numFmtId="0" fontId="4" fillId="0" borderId="0" xfId="0" applyFont="1"/>
    <xf numFmtId="0" fontId="2" fillId="4" borderId="1" xfId="3" applyFill="1" applyBorder="1" applyAlignment="1">
      <alignment horizontal="center" vertical="center"/>
    </xf>
    <xf numFmtId="0" fontId="2" fillId="4" borderId="1" xfId="1" applyNumberFormat="1" applyFont="1" applyFill="1" applyBorder="1" applyAlignment="1">
      <alignment horizontal="center" vertical="center"/>
    </xf>
  </cellXfs>
  <cellStyles count="7">
    <cellStyle name="桁区切り" xfId="1" builtinId="6"/>
    <cellStyle name="通貨" xfId="2" builtinId="7"/>
    <cellStyle name="標準" xfId="0" builtinId="0"/>
    <cellStyle name="標準 2" xfId="3" xr:uid="{C6A12133-F5AD-4D43-A345-2B94572D3266}"/>
    <cellStyle name="標準 2 2" xfId="6" xr:uid="{F4FE7186-5D84-4F01-8BDE-48D364DC7F2F}"/>
    <cellStyle name="標準 3 2" xfId="5" xr:uid="{4A7B30F3-8C27-47E0-99DC-D7A7EFB776FB}"/>
    <cellStyle name="標準 3 3" xfId="4" xr:uid="{986F457C-3BA3-459C-9FDD-BFCC5D324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6928-B343-4C40-AEAA-C5E8DCBDB686}">
  <dimension ref="A1:R4"/>
  <sheetViews>
    <sheetView tabSelected="1" workbookViewId="0">
      <selection activeCell="L5" sqref="L5"/>
    </sheetView>
  </sheetViews>
  <sheetFormatPr defaultRowHeight="18.75"/>
  <cols>
    <col min="1" max="2" width="4.125" bestFit="1" customWidth="1"/>
    <col min="3" max="3" width="11.375" bestFit="1" customWidth="1"/>
    <col min="5" max="5" width="9" customWidth="1"/>
    <col min="6" max="6" width="9.625" bestFit="1" customWidth="1"/>
    <col min="7" max="7" width="9" customWidth="1"/>
    <col min="8" max="8" width="10.625" bestFit="1" customWidth="1"/>
    <col min="9" max="11" width="9" customWidth="1"/>
    <col min="12" max="12" width="21.625" bestFit="1" customWidth="1"/>
    <col min="13" max="13" width="9" customWidth="1"/>
    <col min="14" max="14" width="22.875" bestFit="1" customWidth="1"/>
    <col min="15" max="15" width="11" bestFit="1" customWidth="1"/>
  </cols>
  <sheetData>
    <row r="1" spans="1:18">
      <c r="A1" s="1" t="s">
        <v>0</v>
      </c>
      <c r="B1" s="1" t="s">
        <v>1</v>
      </c>
      <c r="C1" s="16" t="s">
        <v>2</v>
      </c>
      <c r="D1" s="17" t="s">
        <v>3</v>
      </c>
      <c r="E1" s="2" t="s">
        <v>4</v>
      </c>
      <c r="F1" s="17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16" t="s">
        <v>10</v>
      </c>
      <c r="L1" s="16" t="s">
        <v>11</v>
      </c>
      <c r="M1" s="1" t="s">
        <v>16</v>
      </c>
      <c r="N1" s="16" t="s">
        <v>12</v>
      </c>
      <c r="O1" s="16" t="s">
        <v>13</v>
      </c>
      <c r="P1" s="16" t="s">
        <v>14</v>
      </c>
      <c r="Q1" s="16" t="s">
        <v>15</v>
      </c>
    </row>
    <row r="2" spans="1:18">
      <c r="A2" s="5">
        <v>1</v>
      </c>
      <c r="B2" s="5">
        <v>1</v>
      </c>
      <c r="C2" s="6">
        <v>45855</v>
      </c>
      <c r="D2" s="9">
        <v>0</v>
      </c>
      <c r="E2" s="10"/>
      <c r="F2" s="9">
        <v>500</v>
      </c>
      <c r="G2" s="10"/>
      <c r="H2" s="10">
        <f>F2-D2</f>
        <v>500</v>
      </c>
      <c r="I2" s="13" t="e">
        <f>#REF!+F2-D2</f>
        <v>#REF!</v>
      </c>
      <c r="J2" s="14" t="e">
        <f t="shared" ref="J2" si="0">IF( H2=I2, "OK","bad" )</f>
        <v>#REF!</v>
      </c>
      <c r="K2" s="5">
        <v>1</v>
      </c>
      <c r="L2" s="5">
        <v>1</v>
      </c>
      <c r="M2" s="5"/>
      <c r="N2" s="5" t="s">
        <v>17</v>
      </c>
      <c r="O2" s="7" t="s">
        <v>20</v>
      </c>
      <c r="P2" s="5" t="s">
        <v>23</v>
      </c>
      <c r="Q2" s="5"/>
    </row>
    <row r="3" spans="1:18">
      <c r="A3" s="5">
        <v>2</v>
      </c>
      <c r="B3" s="5">
        <v>2</v>
      </c>
      <c r="C3" s="6">
        <v>45858</v>
      </c>
      <c r="D3" s="11">
        <v>0</v>
      </c>
      <c r="E3" s="12"/>
      <c r="F3" s="11">
        <v>100</v>
      </c>
      <c r="G3" s="12"/>
      <c r="H3" s="12">
        <f>H2+F3-D3</f>
        <v>600</v>
      </c>
      <c r="I3" s="13">
        <f t="shared" ref="I3:I4" si="1">H2+F3-D3</f>
        <v>600</v>
      </c>
      <c r="J3" s="14" t="str">
        <f t="shared" ref="J3:J4" si="2">IF( H3=I3, "OK","bad" )</f>
        <v>OK</v>
      </c>
      <c r="K3" s="5">
        <v>2</v>
      </c>
      <c r="L3" s="8">
        <v>2</v>
      </c>
      <c r="M3" s="5"/>
      <c r="N3" s="5" t="s">
        <v>18</v>
      </c>
      <c r="O3" s="7" t="s">
        <v>21</v>
      </c>
      <c r="P3" s="5" t="s">
        <v>24</v>
      </c>
      <c r="Q3" s="5"/>
      <c r="R3" s="15"/>
    </row>
    <row r="4" spans="1:18">
      <c r="A4" s="5">
        <v>3</v>
      </c>
      <c r="B4" s="5">
        <v>3</v>
      </c>
      <c r="C4" s="6">
        <v>45868</v>
      </c>
      <c r="D4" s="9">
        <v>300</v>
      </c>
      <c r="E4" s="10"/>
      <c r="F4" s="9">
        <v>0</v>
      </c>
      <c r="G4" s="10"/>
      <c r="H4" s="12">
        <f>H3+F4-D4</f>
        <v>300</v>
      </c>
      <c r="I4" s="13">
        <f t="shared" si="1"/>
        <v>300</v>
      </c>
      <c r="J4" s="14" t="str">
        <f t="shared" si="2"/>
        <v>OK</v>
      </c>
      <c r="K4" s="5">
        <v>3</v>
      </c>
      <c r="L4" s="8">
        <v>3</v>
      </c>
      <c r="M4" s="5"/>
      <c r="N4" s="5" t="s">
        <v>19</v>
      </c>
      <c r="O4" s="7" t="s">
        <v>22</v>
      </c>
      <c r="P4" s="5" t="s">
        <v>25</v>
      </c>
      <c r="Q4" s="5" t="s">
        <v>26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Itaru Kotagiri</dc:creator>
  <cp:lastModifiedBy>Itaru Kotagiri</cp:lastModifiedBy>
  <cp:lastPrinted>2025-08-28T21:23:35Z</cp:lastPrinted>
  <dcterms:created xsi:type="dcterms:W3CDTF">2015-06-05T18:19:34Z</dcterms:created>
  <dcterms:modified xsi:type="dcterms:W3CDTF">2025-12-21T03:07:00Z</dcterms:modified>
</cp:coreProperties>
</file>